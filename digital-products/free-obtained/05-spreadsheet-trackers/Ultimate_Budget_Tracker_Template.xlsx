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avings Goals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Monthl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2C3E50"/>
      <sz val="18"/>
    </font>
    <font>
      <name val="Calibri"/>
      <b val="1"/>
      <color rgb="00666666"/>
      <sz val="11"/>
    </font>
    <font>
      <name val="Calibri"/>
      <b val="1"/>
      <color rgb="002C3E50"/>
      <sz val="11"/>
    </font>
    <font>
      <name val="Calibri"/>
      <b val="1"/>
      <sz val="12"/>
    </font>
    <font>
      <name val="Calibri"/>
      <b val="1"/>
      <color rgb="00FFFFFF"/>
      <sz val="14"/>
    </font>
    <font>
      <name val="Calibr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E8B4B8"/>
        <bgColor rgb="00E8B4B8"/>
      </patternFill>
    </fill>
    <fill>
      <patternFill patternType="solid">
        <fgColor rgb="00B8D8BA"/>
        <bgColor rgb="00B8D8BA"/>
      </patternFill>
    </fill>
    <fill>
      <patternFill patternType="solid">
        <fgColor rgb="00F5F2ED"/>
        <bgColor rgb="00F5F2ED"/>
      </patternFill>
    </fill>
    <fill>
      <patternFill patternType="solid">
        <fgColor rgb="00A8D5BA"/>
        <bgColor rgb="00A8D5BA"/>
      </patternFill>
    </fill>
    <fill>
      <patternFill patternType="solid">
        <fgColor rgb="002C3E50"/>
        <bgColor rgb="002C3E5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1" pivotButton="0" quotePrefix="0" xfId="0"/>
    <xf numFmtId="164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pivotButton="0" quotePrefix="0" xfId="0"/>
    <xf numFmtId="0" fontId="3" fillId="4" borderId="1" pivotButton="0" quotePrefix="0" xfId="0"/>
    <xf numFmtId="0" fontId="3" fillId="5" borderId="1" pivotButton="0" quotePrefix="0" xfId="0"/>
    <xf numFmtId="165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5" fillId="6" borderId="1" pivotButton="0" quotePrefix="0" xfId="0"/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3" fillId="0" borderId="0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Summary'!$A$4:$A$15</f>
            </numRef>
          </cat>
          <val>
            <numRef>
              <f>'Monthly Summary'!$B$4:$B$15</f>
            </numRef>
          </val>
        </ser>
        <ser>
          <idx val="1"/>
          <order val="1"/>
          <tx>
            <strRef>
              <f>'Monthly 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Summary'!$A$4:$A$15</f>
            </numRef>
          </cat>
          <val>
            <numRef>
              <f>'Monthly Summary'!$C$4:$C$15</f>
            </numRef>
          </val>
        </ser>
        <ser>
          <idx val="2"/>
          <order val="2"/>
          <tx>
            <strRef>
              <f>'Monthly 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Summary'!$A$4:$A$15</f>
            </numRef>
          </cat>
          <val>
            <numRef>
              <f>'Monthly Summary'!$D$4:$D$15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💰 Ultimate Budget Tracker</t>
        </is>
      </c>
    </row>
    <row r="3">
      <c r="B3" s="2" t="inlineStr">
        <is>
          <t>Created: 2026-08-30 | Free open-source template</t>
        </is>
      </c>
    </row>
    <row r="5">
      <c r="B5" s="3" t="inlineStr">
        <is>
          <t>Overview</t>
        </is>
      </c>
    </row>
    <row r="6">
      <c r="B6" s="4" t="inlineStr">
        <is>
          <t>Total Income</t>
        </is>
      </c>
      <c r="C6" s="5">
        <f>SUM(Income!C:C)/2</f>
        <v/>
      </c>
      <c r="D6" s="6" t="n"/>
      <c r="E6" s="6" t="n"/>
      <c r="F6" s="7" t="n"/>
    </row>
    <row r="7">
      <c r="B7" s="8" t="inlineStr">
        <is>
          <t>Total Expenses</t>
        </is>
      </c>
      <c r="C7" s="5">
        <f>SUM(Expenses!E:E)</f>
        <v/>
      </c>
      <c r="D7" s="6" t="n"/>
      <c r="E7" s="6" t="n"/>
      <c r="F7" s="7" t="n"/>
    </row>
    <row r="8">
      <c r="B8" s="9" t="inlineStr">
        <is>
          <t>Net Balance</t>
        </is>
      </c>
      <c r="C8" s="5">
        <f>B6-B7</f>
        <v/>
      </c>
      <c r="D8" s="6" t="n"/>
      <c r="E8" s="6" t="n"/>
      <c r="F8" s="7" t="n"/>
    </row>
    <row r="9">
      <c r="B9" s="10" t="inlineStr">
        <is>
          <t>Savings Rate</t>
        </is>
      </c>
      <c r="C9" s="11">
        <f>IF(B6&gt;0,B8/B6,0)</f>
        <v/>
      </c>
      <c r="D9" s="6" t="n"/>
      <c r="E9" s="6" t="n"/>
      <c r="F9" s="7" t="n"/>
    </row>
    <row r="10">
      <c r="B10" s="9" t="inlineStr">
        <is>
          <t>Monthly Budget</t>
        </is>
      </c>
      <c r="C10" s="5">
        <f>Settings!B2</f>
        <v/>
      </c>
      <c r="D10" s="6" t="n"/>
      <c r="E10" s="6" t="n"/>
      <c r="F10" s="7" t="n"/>
    </row>
    <row r="11">
      <c r="B11" s="10" t="inlineStr">
        <is>
          <t>Budget Remaining</t>
        </is>
      </c>
      <c r="C11" s="5">
        <f>B10-B7</f>
        <v/>
      </c>
      <c r="D11" s="6" t="n"/>
      <c r="E11" s="6" t="n"/>
      <c r="F11" s="7" t="n"/>
    </row>
    <row r="14">
      <c r="B14" s="3" t="inlineStr">
        <is>
          <t>Expense by Category</t>
        </is>
      </c>
    </row>
    <row r="15">
      <c r="B15" s="9" t="inlineStr">
        <is>
          <t>Category</t>
        </is>
      </c>
      <c r="C15" s="9" t="inlineStr">
        <is>
          <t>Amount</t>
        </is>
      </c>
      <c r="D15" s="9" t="inlineStr">
        <is>
          <t>% of Total</t>
        </is>
      </c>
    </row>
    <row r="16">
      <c r="B16" s="12" t="inlineStr">
        <is>
          <t>Housing</t>
        </is>
      </c>
      <c r="C16" s="13">
        <f>SUMIF(Expenses!C:C,"Housing",Expenses!E:E)</f>
        <v/>
      </c>
      <c r="D16" s="14">
        <f>IF($C$23&gt;0,C16/$C$23,0)</f>
        <v/>
      </c>
    </row>
    <row r="17">
      <c r="B17" s="12" t="inlineStr">
        <is>
          <t>Food</t>
        </is>
      </c>
      <c r="C17" s="13">
        <f>SUMIF(Expenses!C:C,"Food",Expenses!E:E)</f>
        <v/>
      </c>
      <c r="D17" s="14">
        <f>IF($C$23&gt;0,C17/$C$23,0)</f>
        <v/>
      </c>
    </row>
    <row r="18">
      <c r="B18" s="12" t="inlineStr">
        <is>
          <t>Transport</t>
        </is>
      </c>
      <c r="C18" s="13">
        <f>SUMIF(Expenses!C:C,"Transport",Expenses!E:E)</f>
        <v/>
      </c>
      <c r="D18" s="14">
        <f>IF($C$23&gt;0,C18/$C$23,0)</f>
        <v/>
      </c>
    </row>
    <row r="19">
      <c r="B19" s="12" t="inlineStr">
        <is>
          <t>Utilities</t>
        </is>
      </c>
      <c r="C19" s="13">
        <f>SUMIF(Expenses!C:C,"Utilities",Expenses!E:E)</f>
        <v/>
      </c>
      <c r="D19" s="14">
        <f>IF($C$23&gt;0,C19/$C$23,0)</f>
        <v/>
      </c>
    </row>
    <row r="20">
      <c r="B20" s="12" t="inlineStr">
        <is>
          <t>Entertainment</t>
        </is>
      </c>
      <c r="C20" s="13">
        <f>SUMIF(Expenses!C:C,"Entertainment",Expenses!E:E)</f>
        <v/>
      </c>
      <c r="D20" s="14">
        <f>IF($C$23&gt;0,C20/$C$23,0)</f>
        <v/>
      </c>
    </row>
    <row r="21">
      <c r="B21" s="12" t="inlineStr">
        <is>
          <t>Health</t>
        </is>
      </c>
      <c r="C21" s="13">
        <f>SUMIF(Expenses!C:C,"Health",Expenses!E:E)</f>
        <v/>
      </c>
      <c r="D21" s="14">
        <f>IF($C$23&gt;0,C21/$C$23,0)</f>
        <v/>
      </c>
    </row>
    <row r="22">
      <c r="B22" s="12" t="inlineStr">
        <is>
          <t>Shopping</t>
        </is>
      </c>
      <c r="C22" s="13">
        <f>SUMIF(Expenses!C:C,"Shopping",Expenses!E:E)</f>
        <v/>
      </c>
      <c r="D22" s="14">
        <f>IF($C$23&gt;0,C22/$C$23,0)</f>
        <v/>
      </c>
    </row>
    <row r="23">
      <c r="B23" s="12" t="inlineStr">
        <is>
          <t>Other</t>
        </is>
      </c>
      <c r="C23" s="13">
        <f>SUMIF(Expenses!C:C,"Other",Expenses!E:E)</f>
        <v/>
      </c>
      <c r="D23" s="14">
        <f>IF($C$23&gt;0,C23/$C$23,0)</f>
        <v/>
      </c>
    </row>
    <row r="24">
      <c r="B24" s="15" t="inlineStr">
        <is>
          <t>TOTAL</t>
        </is>
      </c>
      <c r="C24" s="16">
        <f>SUM(C16:C23)</f>
        <v/>
      </c>
      <c r="D24" s="14">
        <f>SUM(D16:D23)</f>
        <v/>
      </c>
    </row>
  </sheetData>
  <mergeCells count="8">
    <mergeCell ref="C9:F9"/>
    <mergeCell ref="C8:F8"/>
    <mergeCell ref="B5:F5"/>
    <mergeCell ref="C6:F6"/>
    <mergeCell ref="C7:F7"/>
    <mergeCell ref="C11:F11"/>
    <mergeCell ref="B14:F14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40" customWidth="1" min="4" max="4"/>
  </cols>
  <sheetData>
    <row r="1">
      <c r="A1" s="1" t="inlineStr">
        <is>
          <t>💰 Income Tracker</t>
        </is>
      </c>
    </row>
    <row r="3">
      <c r="A3" s="17" t="inlineStr">
        <is>
          <t>Date</t>
        </is>
      </c>
      <c r="B3" s="17" t="inlineStr">
        <is>
          <t>Source</t>
        </is>
      </c>
      <c r="C3" s="17" t="inlineStr">
        <is>
          <t>Amount</t>
        </is>
      </c>
      <c r="D3" s="17" t="inlineStr">
        <is>
          <t>Notes</t>
        </is>
      </c>
    </row>
    <row r="4">
      <c r="A4" s="18" t="inlineStr">
        <is>
          <t>2026-01-01</t>
        </is>
      </c>
      <c r="B4" s="18" t="inlineStr">
        <is>
          <t>Salary</t>
        </is>
      </c>
      <c r="C4" s="19" t="n">
        <v>3500</v>
      </c>
      <c r="D4" s="18" t="inlineStr">
        <is>
          <t>Monthly paycheck</t>
        </is>
      </c>
    </row>
    <row r="5">
      <c r="A5" s="18" t="inlineStr">
        <is>
          <t>2026-01-15</t>
        </is>
      </c>
      <c r="B5" s="18" t="inlineStr">
        <is>
          <t>Side hustle</t>
        </is>
      </c>
      <c r="C5" s="19" t="n">
        <v>450</v>
      </c>
      <c r="D5" s="18" t="inlineStr">
        <is>
          <t>Freelance design</t>
        </is>
      </c>
    </row>
    <row r="6">
      <c r="A6" s="18" t="inlineStr">
        <is>
          <t>2026-02-01</t>
        </is>
      </c>
      <c r="B6" s="18" t="inlineStr">
        <is>
          <t>Salary</t>
        </is>
      </c>
      <c r="C6" s="19" t="n">
        <v>3500</v>
      </c>
      <c r="D6" s="18" t="inlineStr">
        <is>
          <t>Monthly paycheck</t>
        </is>
      </c>
    </row>
    <row r="7">
      <c r="A7" s="18" t="inlineStr">
        <is>
          <t>2026-02-20</t>
        </is>
      </c>
      <c r="B7" s="18" t="inlineStr">
        <is>
          <t>Investment</t>
        </is>
      </c>
      <c r="C7" s="19" t="n">
        <v>120</v>
      </c>
      <c r="D7" s="18" t="inlineStr">
        <is>
          <t>Dividends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💸 Expense Tracker</t>
        </is>
      </c>
    </row>
    <row r="3">
      <c r="A3" s="17" t="inlineStr">
        <is>
          <t>Date</t>
        </is>
      </c>
      <c r="B3" s="17" t="inlineStr">
        <is>
          <t>Description</t>
        </is>
      </c>
      <c r="C3" s="17" t="inlineStr">
        <is>
          <t>Category</t>
        </is>
      </c>
      <c r="D3" s="17" t="inlineStr">
        <is>
          <t>Payment Method</t>
        </is>
      </c>
      <c r="E3" s="17" t="inlineStr">
        <is>
          <t>Amount</t>
        </is>
      </c>
      <c r="F3" s="17" t="inlineStr">
        <is>
          <t>Notes</t>
        </is>
      </c>
    </row>
    <row r="4">
      <c r="A4" s="18" t="inlineStr">
        <is>
          <t>2026-01-03</t>
        </is>
      </c>
      <c r="B4" s="18" t="inlineStr">
        <is>
          <t>Rent</t>
        </is>
      </c>
      <c r="C4" s="18" t="inlineStr">
        <is>
          <t>Housing</t>
        </is>
      </c>
      <c r="D4" s="18" t="inlineStr">
        <is>
          <t>Bank</t>
        </is>
      </c>
      <c r="E4" s="19" t="n">
        <v>1200</v>
      </c>
      <c r="F4" s="18" t="inlineStr">
        <is>
          <t>Monthly rent</t>
        </is>
      </c>
    </row>
    <row r="5">
      <c r="A5" s="18" t="inlineStr">
        <is>
          <t>2026-01-05</t>
        </is>
      </c>
      <c r="B5" s="18" t="inlineStr">
        <is>
          <t>Grocery run</t>
        </is>
      </c>
      <c r="C5" s="18" t="inlineStr">
        <is>
          <t>Food</t>
        </is>
      </c>
      <c r="D5" s="18" t="inlineStr">
        <is>
          <t>Card</t>
        </is>
      </c>
      <c r="E5" s="19" t="n">
        <v>180</v>
      </c>
      <c r="F5" s="18" t="inlineStr">
        <is>
          <t>Weekly groceries</t>
        </is>
      </c>
    </row>
    <row r="6">
      <c r="A6" s="18" t="inlineStr">
        <is>
          <t>2026-01-07</t>
        </is>
      </c>
      <c r="B6" s="18" t="inlineStr">
        <is>
          <t>Gas</t>
        </is>
      </c>
      <c r="C6" s="18" t="inlineStr">
        <is>
          <t>Transport</t>
        </is>
      </c>
      <c r="D6" s="18" t="inlineStr">
        <is>
          <t>Card</t>
        </is>
      </c>
      <c r="E6" s="19" t="n">
        <v>45</v>
      </c>
      <c r="F6" s="18" t="inlineStr">
        <is>
          <t>Fill up</t>
        </is>
      </c>
    </row>
    <row r="7">
      <c r="A7" s="18" t="inlineStr">
        <is>
          <t>2026-01-10</t>
        </is>
      </c>
      <c r="B7" s="18" t="inlineStr">
        <is>
          <t>Electric bill</t>
        </is>
      </c>
      <c r="C7" s="18" t="inlineStr">
        <is>
          <t>Utilities</t>
        </is>
      </c>
      <c r="D7" s="18" t="inlineStr">
        <is>
          <t>Bank</t>
        </is>
      </c>
      <c r="E7" s="19" t="n">
        <v>85</v>
      </c>
      <c r="F7" s="18" t="inlineStr">
        <is>
          <t>Monthly</t>
        </is>
      </c>
    </row>
    <row r="8">
      <c r="A8" s="18" t="inlineStr">
        <is>
          <t>2026-01-12</t>
        </is>
      </c>
      <c r="B8" s="18" t="inlineStr">
        <is>
          <t>Movie night</t>
        </is>
      </c>
      <c r="C8" s="18" t="inlineStr">
        <is>
          <t>Entertainment</t>
        </is>
      </c>
      <c r="D8" s="18" t="inlineStr">
        <is>
          <t>Cash</t>
        </is>
      </c>
      <c r="E8" s="19" t="n">
        <v>30</v>
      </c>
      <c r="F8" s="18" t="inlineStr">
        <is>
          <t>Date night</t>
        </is>
      </c>
    </row>
    <row r="9">
      <c r="A9" s="18" t="inlineStr">
        <is>
          <t>2026-01-15</t>
        </is>
      </c>
      <c r="B9" s="18" t="inlineStr">
        <is>
          <t>Gym membership</t>
        </is>
      </c>
      <c r="C9" s="18" t="inlineStr">
        <is>
          <t>Health</t>
        </is>
      </c>
      <c r="D9" s="18" t="inlineStr">
        <is>
          <t>Card</t>
        </is>
      </c>
      <c r="E9" s="19" t="n">
        <v>35</v>
      </c>
      <c r="F9" s="18" t="inlineStr">
        <is>
          <t>Monthly</t>
        </is>
      </c>
    </row>
    <row r="10">
      <c r="A10" s="18" t="inlineStr">
        <is>
          <t>2026-01-20</t>
        </is>
      </c>
      <c r="B10" s="18" t="inlineStr">
        <is>
          <t>New shoes</t>
        </is>
      </c>
      <c r="C10" s="18" t="inlineStr">
        <is>
          <t>Shopping</t>
        </is>
      </c>
      <c r="D10" s="18" t="inlineStr">
        <is>
          <t>Card</t>
        </is>
      </c>
      <c r="E10" s="19" t="n">
        <v>75</v>
      </c>
      <c r="F10" s="18" t="inlineStr">
        <is>
          <t>Running shoes</t>
        </is>
      </c>
    </row>
    <row r="11">
      <c r="A11" s="18" t="inlineStr">
        <is>
          <t>2026-02-03</t>
        </is>
      </c>
      <c r="B11" s="18" t="inlineStr">
        <is>
          <t>Rent</t>
        </is>
      </c>
      <c r="C11" s="18" t="inlineStr">
        <is>
          <t>Housing</t>
        </is>
      </c>
      <c r="D11" s="18" t="inlineStr">
        <is>
          <t>Bank</t>
        </is>
      </c>
      <c r="E11" s="19" t="n">
        <v>1200</v>
      </c>
      <c r="F11" s="18" t="inlineStr">
        <is>
          <t>Monthly rent</t>
        </is>
      </c>
    </row>
    <row r="12">
      <c r="A12" s="18" t="inlineStr">
        <is>
          <t>2026-02-05</t>
        </is>
      </c>
      <c r="B12" s="18" t="inlineStr">
        <is>
          <t>Grocery run</t>
        </is>
      </c>
      <c r="C12" s="18" t="inlineStr">
        <is>
          <t>Food</t>
        </is>
      </c>
      <c r="D12" s="18" t="inlineStr">
        <is>
          <t>Card</t>
        </is>
      </c>
      <c r="E12" s="19" t="n">
        <v>195</v>
      </c>
      <c r="F12" s="18" t="inlineStr">
        <is>
          <t>Weekly groceries</t>
        </is>
      </c>
    </row>
    <row r="13">
      <c r="A13" s="18" t="inlineStr">
        <is>
          <t>2026-02-07</t>
        </is>
      </c>
      <c r="B13" s="18" t="inlineStr">
        <is>
          <t>Gas</t>
        </is>
      </c>
      <c r="C13" s="18" t="inlineStr">
        <is>
          <t>Transport</t>
        </is>
      </c>
      <c r="D13" s="18" t="inlineStr">
        <is>
          <t>Card</t>
        </is>
      </c>
      <c r="E13" s="19" t="n">
        <v>42</v>
      </c>
      <c r="F13" s="18" t="inlineStr">
        <is>
          <t>Fill up</t>
        </is>
      </c>
    </row>
  </sheetData>
  <dataValidations count="1">
    <dataValidation sqref="C4:C1000" showDropDown="0" showInputMessage="0" showErrorMessage="0" allowBlank="1" type="list">
      <formula1>"Housing,Food,Transport,Utilities,Entertainment,Health,Shopping,Other"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🎯 Savings Goals</t>
        </is>
      </c>
    </row>
    <row r="3">
      <c r="A3" s="17" t="inlineStr">
        <is>
          <t>Goal</t>
        </is>
      </c>
      <c r="B3" s="17" t="inlineStr">
        <is>
          <t>Target Amount</t>
        </is>
      </c>
      <c r="C3" s="17" t="inlineStr">
        <is>
          <t>Saved So Far</t>
        </is>
      </c>
      <c r="D3" s="17" t="inlineStr">
        <is>
          <t>Remaining</t>
        </is>
      </c>
      <c r="E3" s="17" t="inlineStr">
        <is>
          <t>Progress %</t>
        </is>
      </c>
      <c r="F3" s="17" t="inlineStr">
        <is>
          <t>Target Date</t>
        </is>
      </c>
    </row>
    <row r="4">
      <c r="A4" s="18" t="inlineStr">
        <is>
          <t>Emergency Fund</t>
        </is>
      </c>
      <c r="B4" s="19" t="n">
        <v>10000</v>
      </c>
      <c r="C4" s="19" t="n">
        <v>3500</v>
      </c>
      <c r="D4" s="19">
        <f>B4-C4</f>
        <v/>
      </c>
      <c r="E4" s="20">
        <f>IF(B4&gt;0,C4/B4,0)</f>
        <v/>
      </c>
      <c r="F4" s="18" t="inlineStr">
        <is>
          <t>2026-12-31</t>
        </is>
      </c>
    </row>
    <row r="5">
      <c r="A5" s="18" t="inlineStr">
        <is>
          <t>Vacation</t>
        </is>
      </c>
      <c r="B5" s="19" t="n">
        <v>3000</v>
      </c>
      <c r="C5" s="19" t="n">
        <v>850</v>
      </c>
      <c r="D5" s="19">
        <f>B5-C5</f>
        <v/>
      </c>
      <c r="E5" s="20">
        <f>IF(B5&gt;0,C5/B5,0)</f>
        <v/>
      </c>
      <c r="F5" s="18" t="inlineStr">
        <is>
          <t>2026-06-01</t>
        </is>
      </c>
    </row>
    <row r="6">
      <c r="A6" s="18" t="inlineStr">
        <is>
          <t>New Laptop</t>
        </is>
      </c>
      <c r="B6" s="19" t="n">
        <v>2000</v>
      </c>
      <c r="C6" s="19" t="n">
        <v>1500</v>
      </c>
      <c r="D6" s="19">
        <f>B6-C6</f>
        <v/>
      </c>
      <c r="E6" s="20">
        <f>IF(B6&gt;0,C6/B6,0)</f>
        <v/>
      </c>
      <c r="F6" s="18" t="inlineStr">
        <is>
          <t>2026-03-15</t>
        </is>
      </c>
    </row>
    <row r="7">
      <c r="A7" s="18" t="inlineStr">
        <is>
          <t>House Down Payment</t>
        </is>
      </c>
      <c r="B7" s="19" t="n">
        <v>50000</v>
      </c>
      <c r="C7" s="19" t="n">
        <v>8500</v>
      </c>
      <c r="D7" s="19">
        <f>B7-C7</f>
        <v/>
      </c>
      <c r="E7" s="20">
        <f>IF(B7&gt;0,C7/B7,0)</f>
        <v/>
      </c>
      <c r="F7" s="18" t="inlineStr">
        <is>
          <t>2027-06-01</t>
        </is>
      </c>
    </row>
  </sheetData>
  <conditionalFormatting sqref="E4:E20">
    <cfRule type="colorScale" priority="1">
      <colorScale>
        <cfvo type="num" val="0"/>
        <cfvo type="num" val="1"/>
        <color rgb="00E8B4B8"/>
        <color rgb="00B8D8B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⚙️ Settings</t>
        </is>
      </c>
    </row>
    <row r="3">
      <c r="A3" s="21" t="inlineStr">
        <is>
          <t>Monthly Budget Limit</t>
        </is>
      </c>
      <c r="B3" s="22" t="n">
        <v>3000</v>
      </c>
    </row>
    <row r="4">
      <c r="A4" s="21" t="inlineStr">
        <is>
          <t>Currency</t>
        </is>
      </c>
      <c r="B4" s="12" t="inlineStr">
        <is>
          <t>USD</t>
        </is>
      </c>
    </row>
    <row r="5">
      <c r="A5" s="21" t="inlineStr">
        <is>
          <t>Start of Month</t>
        </is>
      </c>
      <c r="B5" s="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📊 Monthly Summary</t>
        </is>
      </c>
    </row>
    <row r="3">
      <c r="A3" s="17" t="inlineStr">
        <is>
          <t>Month</t>
        </is>
      </c>
      <c r="B3" s="17" t="inlineStr">
        <is>
          <t>Income</t>
        </is>
      </c>
      <c r="C3" s="17" t="inlineStr">
        <is>
          <t>Expenses</t>
        </is>
      </c>
      <c r="D3" s="17" t="inlineStr">
        <is>
          <t>Savings</t>
        </is>
      </c>
      <c r="E3" s="17" t="inlineStr">
        <is>
          <t>Savings %</t>
        </is>
      </c>
    </row>
    <row r="4">
      <c r="A4" s="15" t="inlineStr">
        <is>
          <t>Jan</t>
        </is>
      </c>
      <c r="B4" s="13">
        <f>SUMIFS(Income!C:C,Income!A:A,"2026-01*")</f>
        <v/>
      </c>
      <c r="C4" s="13">
        <f>SUMIFS(Expenses!E:E,Expenses!A:A,"2026-01*")</f>
        <v/>
      </c>
      <c r="D4" s="13">
        <f>B4-C4</f>
        <v/>
      </c>
      <c r="E4" s="14">
        <f>IF(B4&gt;0,D4/B4,0)</f>
        <v/>
      </c>
    </row>
    <row r="5">
      <c r="A5" s="15" t="inlineStr">
        <is>
          <t>Feb</t>
        </is>
      </c>
      <c r="B5" s="13">
        <f>SUMIFS(Income!C:C,Income!A:A,"2026-02*")</f>
        <v/>
      </c>
      <c r="C5" s="13">
        <f>SUMIFS(Expenses!E:E,Expenses!A:A,"2026-02*")</f>
        <v/>
      </c>
      <c r="D5" s="13">
        <f>B5-C5</f>
        <v/>
      </c>
      <c r="E5" s="14">
        <f>IF(B5&gt;0,D5/B5,0)</f>
        <v/>
      </c>
    </row>
    <row r="6">
      <c r="A6" s="15" t="inlineStr">
        <is>
          <t>Mar</t>
        </is>
      </c>
      <c r="B6" s="13">
        <f>SUMIFS(Income!C:C,Income!A:A,"2026-03*")</f>
        <v/>
      </c>
      <c r="C6" s="13">
        <f>SUMIFS(Expenses!E:E,Expenses!A:A,"2026-03*")</f>
        <v/>
      </c>
      <c r="D6" s="13">
        <f>B6-C6</f>
        <v/>
      </c>
      <c r="E6" s="14">
        <f>IF(B6&gt;0,D6/B6,0)</f>
        <v/>
      </c>
    </row>
    <row r="7">
      <c r="A7" s="15" t="inlineStr">
        <is>
          <t>Apr</t>
        </is>
      </c>
      <c r="B7" s="13">
        <f>SUMIFS(Income!C:C,Income!A:A,"2026-04*")</f>
        <v/>
      </c>
      <c r="C7" s="13">
        <f>SUMIFS(Expenses!E:E,Expenses!A:A,"2026-04*")</f>
        <v/>
      </c>
      <c r="D7" s="13">
        <f>B7-C7</f>
        <v/>
      </c>
      <c r="E7" s="14">
        <f>IF(B7&gt;0,D7/B7,0)</f>
        <v/>
      </c>
    </row>
    <row r="8">
      <c r="A8" s="15" t="inlineStr">
        <is>
          <t>May</t>
        </is>
      </c>
      <c r="B8" s="13">
        <f>SUMIFS(Income!C:C,Income!A:A,"2026-05*")</f>
        <v/>
      </c>
      <c r="C8" s="13">
        <f>SUMIFS(Expenses!E:E,Expenses!A:A,"2026-05*")</f>
        <v/>
      </c>
      <c r="D8" s="13">
        <f>B8-C8</f>
        <v/>
      </c>
      <c r="E8" s="14">
        <f>IF(B8&gt;0,D8/B8,0)</f>
        <v/>
      </c>
    </row>
    <row r="9">
      <c r="A9" s="15" t="inlineStr">
        <is>
          <t>Jun</t>
        </is>
      </c>
      <c r="B9" s="13">
        <f>SUMIFS(Income!C:C,Income!A:A,"2026-06*")</f>
        <v/>
      </c>
      <c r="C9" s="13">
        <f>SUMIFS(Expenses!E:E,Expenses!A:A,"2026-06*")</f>
        <v/>
      </c>
      <c r="D9" s="13">
        <f>B9-C9</f>
        <v/>
      </c>
      <c r="E9" s="14">
        <f>IF(B9&gt;0,D9/B9,0)</f>
        <v/>
      </c>
    </row>
    <row r="10">
      <c r="A10" s="15" t="inlineStr">
        <is>
          <t>Jul</t>
        </is>
      </c>
      <c r="B10" s="13">
        <f>SUMIFS(Income!C:C,Income!A:A,"2026-07*")</f>
        <v/>
      </c>
      <c r="C10" s="13">
        <f>SUMIFS(Expenses!E:E,Expenses!A:A,"2026-07*")</f>
        <v/>
      </c>
      <c r="D10" s="13">
        <f>B10-C10</f>
        <v/>
      </c>
      <c r="E10" s="14">
        <f>IF(B10&gt;0,D10/B10,0)</f>
        <v/>
      </c>
    </row>
    <row r="11">
      <c r="A11" s="15" t="inlineStr">
        <is>
          <t>Aug</t>
        </is>
      </c>
      <c r="B11" s="13">
        <f>SUMIFS(Income!C:C,Income!A:A,"2026-08*")</f>
        <v/>
      </c>
      <c r="C11" s="13">
        <f>SUMIFS(Expenses!E:E,Expenses!A:A,"2026-08*")</f>
        <v/>
      </c>
      <c r="D11" s="13">
        <f>B11-C11</f>
        <v/>
      </c>
      <c r="E11" s="14">
        <f>IF(B11&gt;0,D11/B11,0)</f>
        <v/>
      </c>
    </row>
    <row r="12">
      <c r="A12" s="15" t="inlineStr">
        <is>
          <t>Sep</t>
        </is>
      </c>
      <c r="B12" s="13">
        <f>SUMIFS(Income!C:C,Income!A:A,"2026-09*")</f>
        <v/>
      </c>
      <c r="C12" s="13">
        <f>SUMIFS(Expenses!E:E,Expenses!A:A,"2026-09*")</f>
        <v/>
      </c>
      <c r="D12" s="13">
        <f>B12-C12</f>
        <v/>
      </c>
      <c r="E12" s="14">
        <f>IF(B12&gt;0,D12/B12,0)</f>
        <v/>
      </c>
    </row>
    <row r="13">
      <c r="A13" s="15" t="inlineStr">
        <is>
          <t>Oct</t>
        </is>
      </c>
      <c r="B13" s="13">
        <f>SUMIFS(Income!C:C,Income!A:A,"2026-10*")</f>
        <v/>
      </c>
      <c r="C13" s="13">
        <f>SUMIFS(Expenses!E:E,Expenses!A:A,"2026-10*")</f>
        <v/>
      </c>
      <c r="D13" s="13">
        <f>B13-C13</f>
        <v/>
      </c>
      <c r="E13" s="14">
        <f>IF(B13&gt;0,D13/B13,0)</f>
        <v/>
      </c>
    </row>
    <row r="14">
      <c r="A14" s="15" t="inlineStr">
        <is>
          <t>Nov</t>
        </is>
      </c>
      <c r="B14" s="13">
        <f>SUMIFS(Income!C:C,Income!A:A,"2026-11*")</f>
        <v/>
      </c>
      <c r="C14" s="13">
        <f>SUMIFS(Expenses!E:E,Expenses!A:A,"2026-11*")</f>
        <v/>
      </c>
      <c r="D14" s="13">
        <f>B14-C14</f>
        <v/>
      </c>
      <c r="E14" s="14">
        <f>IF(B14&gt;0,D14/B14,0)</f>
        <v/>
      </c>
    </row>
    <row r="15">
      <c r="A15" s="15" t="inlineStr">
        <is>
          <t>Dec</t>
        </is>
      </c>
      <c r="B15" s="13">
        <f>SUMIFS(Income!C:C,Income!A:A,"2026-12*")</f>
        <v/>
      </c>
      <c r="C15" s="13">
        <f>SUMIFS(Expenses!E:E,Expenses!A:A,"2026-12*")</f>
        <v/>
      </c>
      <c r="D15" s="13">
        <f>B15-C15</f>
        <v/>
      </c>
      <c r="E15" s="14">
        <f>IF(B15&gt;0,D15/B15,0)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2026-08-30T15:14:47Z</dcterms:created>
  <dcterms:modified xmlns:dcterms="http://purl.org/dc/terms/" xmlns:xsi="http://www.w3.org/2001/XMLSchema-instance" xsi:type="dcterms:W3CDTF">2026-08-30T15:14:47Z</dcterms:modified>
</cp:coreProperties>
</file>